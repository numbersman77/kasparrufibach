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9F84EC6C-9D28-48C2-BEA4-12597EED4497}" xr6:coauthVersionLast="47" xr6:coauthVersionMax="47" xr10:uidLastSave="{00000000-0000-0000-0000-000000000000}"/>
  <bookViews>
    <workbookView xWindow="0" yWindow="0" windowWidth="28800" windowHeight="15480" tabRatio="61" xr2:uid="{00000000-000D-0000-FFFF-FFFF00000000}"/>
  </bookViews>
  <sheets>
    <sheet name="Tabelle1" sheetId="1" r:id="rId1"/>
  </sheets>
  <definedNames>
    <definedName name="_xlnm._FilterDatabase" localSheetId="0" hidden="1">Tabelle1!$A$1:$M$137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5" i="1"/>
  <c r="B4" i="1"/>
  <c r="B6" i="1"/>
  <c r="B7" i="1"/>
  <c r="B8" i="1"/>
  <c r="B9" i="1"/>
  <c r="B24" i="1"/>
  <c r="B27" i="1"/>
  <c r="B21" i="1" l="1"/>
  <c r="B10" i="1" l="1"/>
  <c r="B23" i="1" l="1"/>
  <c r="B11" i="1" l="1"/>
  <c r="B30" i="1" l="1"/>
  <c r="B20" i="1" l="1"/>
  <c r="B22" i="1" l="1"/>
  <c r="B12" i="1" l="1"/>
  <c r="B13" i="1" l="1"/>
  <c r="B19" i="1" l="1"/>
  <c r="B14" i="1" l="1"/>
  <c r="B26" i="1" l="1"/>
  <c r="B15" i="1" l="1"/>
  <c r="B17" i="1"/>
  <c r="B28" i="1" l="1"/>
  <c r="B18" i="1" l="1"/>
  <c r="B25" i="1" l="1"/>
  <c r="B16" i="1" l="1"/>
  <c r="B29" i="1"/>
</calcChain>
</file>

<file path=xl/sharedStrings.xml><?xml version="1.0" encoding="utf-8"?>
<sst xmlns="http://schemas.openxmlformats.org/spreadsheetml/2006/main" count="142" uniqueCount="111">
  <si>
    <t>Title</t>
  </si>
  <si>
    <t>Type</t>
  </si>
  <si>
    <t>arxiv</t>
  </si>
  <si>
    <t>markdown</t>
  </si>
  <si>
    <t>github</t>
  </si>
  <si>
    <t>cran</t>
  </si>
  <si>
    <t>linkedin</t>
  </si>
  <si>
    <t>podcast</t>
  </si>
  <si>
    <t>video</t>
  </si>
  <si>
    <t>shiny</t>
  </si>
  <si>
    <t>comment</t>
  </si>
  <si>
    <t>Date</t>
  </si>
  <si>
    <t>Event</t>
  </si>
  <si>
    <t>slides</t>
  </si>
  <si>
    <t>JSM 2023 Toronto</t>
  </si>
  <si>
    <t>Assurance in drug development</t>
  </si>
  <si>
    <t>Invited talks</t>
  </si>
  <si>
    <t>files/talks/20230809_JSM23_Rufibach_Assurance.pdf</t>
  </si>
  <si>
    <t>Contributed talks</t>
  </si>
  <si>
    <t>files/talks/20220822_ISCB43_Rufibach_FUquant.pdf</t>
  </si>
  <si>
    <t>files/talks/20180910_Rufibach_immortal_bias.pdf</t>
  </si>
  <si>
    <t>Immortal bias - you live longer if you cannot die!</t>
  </si>
  <si>
    <t>14th Basel Modeling &amp; Simulation Seminar</t>
  </si>
  <si>
    <t>MIRROS: Planning a Phase 3 Trial with Time-to-event Endpoint, a Cure Proportion, and a Futility Interim Analysis using Response</t>
  </si>
  <si>
    <t>files/talks/20220808_Rufibach_MIRROS.pdf</t>
  </si>
  <si>
    <t>files/talks/20230828_ISCB_Rufibach_PFS_OS.pdf</t>
  </si>
  <si>
    <t>ISCB44 2023 Milan</t>
  </si>
  <si>
    <t>ISCB43 2022 Newcastle</t>
  </si>
  <si>
    <t>Clinical trial design based on a multistate model that jointly models progression-free and overall survival</t>
  </si>
  <si>
    <t>Stop the abuse: A plea for a more principled approach to the analysis of time-to-event endpoints with competing risks, with a focus on analysis of AEs</t>
  </si>
  <si>
    <t>files/talks/20230828_Rufibach_SAVVY.pdf</t>
  </si>
  <si>
    <t>https://baselbiometrics.github.io/home/docs/events_past.html#quantification-of-risk-ask-the-right-questions-or-time-to-apply-the-estimand-framework-to-safety</t>
  </si>
  <si>
    <t>Stop the abuse: A plea for a more principled approach to the analysis of time-to-event endpoints with varying follow-up times and/or competing risks, with a focus on analysis of AEs.</t>
  </si>
  <si>
    <t>BBS seminar: Quantification of risk: ask the right questions or time to apply the estimand framework to safety!</t>
  </si>
  <si>
    <t>JSM 2022 Washington DC&lt;br&gt;(virtual talk)</t>
  </si>
  <si>
    <t>ISCB44 2023 Milan /&lt;br&gt;CEN 2023 Basel</t>
  </si>
  <si>
    <t>Event projection: quantify uncertainty and manage expectations of broader teams</t>
  </si>
  <si>
    <t>https://baselbiometrics.github.io/home/docs/talks/20160428/1_Rufibach.pdf</t>
  </si>
  <si>
    <t>BBS spring seminar</t>
  </si>
  <si>
    <t>https://youtu.be/fUyXVkx12ak</t>
  </si>
  <si>
    <t>Short version of this talk, which starts at 58:20 of the recording.</t>
  </si>
  <si>
    <t>https://youtu.be/GK-uu6Y_9B4</t>
  </si>
  <si>
    <t>Recording from Milan.</t>
  </si>
  <si>
    <t>Long version of this talk, given at BBS seminar.</t>
  </si>
  <si>
    <t>CDDF workshop on "innovative oncology clinical trial designs", Amsterdam</t>
  </si>
  <si>
    <t>Estimands - industry perspective</t>
  </si>
  <si>
    <t>files/talks/20230918_CDDF_Rufibach_Estimands.pdf</t>
  </si>
  <si>
    <t>University of Ulm</t>
  </si>
  <si>
    <t>Efficient effect estimation in pre-specified subgroups in forest plots for a time-to-event endpoint</t>
  </si>
  <si>
    <t>files/talks/20220222_Rufibach_subgroup.pdf</t>
  </si>
  <si>
    <t>Impact of Cross-over in the Evaluation of Overall Survival in cancer RCTs</t>
  </si>
  <si>
    <t>files/talks/20231012_Rufibach_Lungevity_crossover.pdf</t>
  </si>
  <si>
    <t>Italian Biostatistics Group (IBIG)</t>
  </si>
  <si>
    <t>files/talks/20231023_Rufibach_IBIG_SAVVY.pdf</t>
  </si>
  <si>
    <t>Stop the abuse: A plea for a more principled approach to the analysis of time-to-event endpoints with competing risks, with a focus on analysis of Aes</t>
  </si>
  <si>
    <t>files/talks/20210211_DCTs_estimands.pdf</t>
  </si>
  <si>
    <t>How can the estimand framework support decentralized trials?</t>
  </si>
  <si>
    <t>ASA/LUNGevity Foundation/FDA Statistical Forum</t>
  </si>
  <si>
    <t>files/talks/20211216_Rufibach_complex_journeys.pdf</t>
  </si>
  <si>
    <t>Answering Old Questions with New Tools: Application of the ICH E9 Addendum in Oncology</t>
  </si>
  <si>
    <t>Royal Statistical Society Session on Design for Medical and Clinical studies</t>
  </si>
  <si>
    <t>Follow-up time in clinical trials with a time-to-event endpoint: Redefining the question(s)</t>
  </si>
  <si>
    <t>files/talks/20150616_3arm_designs_ROeS_Milan.pdf</t>
  </si>
  <si>
    <t>Joint Meeting of the International Biometric Society Austro-Swiss and Italian Regions, Milan, Italy</t>
  </si>
  <si>
    <t>Evaluation of possible designs for a three-arm clinical trial: Comparing a closed-testing design to potential alternatives.</t>
  </si>
  <si>
    <t>https://theeffectivestatistician.com/welcome-to-the-effective-statistician-conference-2024/</t>
  </si>
  <si>
    <t>files/talks/20201220_Vienna_Rufibach_multistate.pdf</t>
  </si>
  <si>
    <t>Vienna Biometric Section</t>
  </si>
  <si>
    <t>Use of multistate models to improve decision-making in clinical trials</t>
  </si>
  <si>
    <t>files/talks/20240215_Rufibach_Futility.pdf</t>
  </si>
  <si>
    <t>Futility analyses - a strategic tool in drug development and not futile at all!</t>
  </si>
  <si>
    <t>Annual meeting of the Danish Society for Biopharmaceutical Statistics</t>
  </si>
  <si>
    <t>Estimands, target trial emulation, and use of external control data</t>
  </si>
  <si>
    <t>files/talks/20240523_Rufibach_trial_emulation_handout.pdf</t>
  </si>
  <si>
    <t>https://arxiv.org/abs/2208.06707</t>
  </si>
  <si>
    <t>2-hour training for clinical reviewers: Implications of the ICH E9 estimand addendum on how we develop, run, and analyse clinical trials</t>
  </si>
  <si>
    <t>files/talks/20210519_ANVISA_estimands.pdf</t>
  </si>
  <si>
    <t>Seminar of Brazilian Health Regulatory Agency (Anvisa)</t>
  </si>
  <si>
    <t>https://www.youtube.com/watch?v=chUufn9OqOw</t>
  </si>
  <si>
    <t>PSI conference 2024, Amsterdam</t>
  </si>
  <si>
    <t>Implementation of statistical innovation in a pharmaceutical company</t>
  </si>
  <si>
    <t>files/talks/20240619_PSI_Rufibach_innovation.pdf</t>
  </si>
  <si>
    <t>BayesPharma 2019, Lyon</t>
  </si>
  <si>
    <t>Bayesian Predictive Power: Theory, challenges in implementations and perspectives</t>
  </si>
  <si>
    <t>http://www.bayes-pharma.org/wp-content/uploads/2019/06/Session-4.1-Kaspar-Rufibach.pdf</t>
  </si>
  <si>
    <t>9th EFSPI regulatory statistics workshop</t>
  </si>
  <si>
    <t>CLL11 -- a trial tailored to answer questions from many stakeholders efficiently</t>
  </si>
  <si>
    <t>files/talks/20240911_Rufibach_EFSPI_CLL11.pdf</t>
  </si>
  <si>
    <t>Effective Statistician Conference 2024 (2)</t>
  </si>
  <si>
    <t>Effective Statistician Conference 2024 (1)</t>
  </si>
  <si>
    <t>What is the biggest contribution of statisticians to drug development?</t>
  </si>
  <si>
    <t>files/talks/20241107_EffStat_value.pdf</t>
  </si>
  <si>
    <t>files/talks/20241119_Rufibach_PSI_causal.pdf</t>
  </si>
  <si>
    <t>Joint PSI/EFSPI Causal Inference SIG Webinar</t>
  </si>
  <si>
    <t>Opportunities in applying a causal inference framework during the analysis of an RCT</t>
  </si>
  <si>
    <t>Statistical Methods Forum of the Mayo Clinic</t>
  </si>
  <si>
    <t>Estimands: a genuine step forward in designing, running, analyzing, and communicating clinical trials</t>
  </si>
  <si>
    <t>files/talks/20250123_Rufibach_Mayo_estimands.pdf</t>
  </si>
  <si>
    <t>BBS webinar "From Statistical Innovations to Common Practice, How to innovate with impact?"</t>
  </si>
  <si>
    <t>files/talks/20250319_Rufibach_innovation_handout.pdf</t>
  </si>
  <si>
    <t>https://osf.io/huq26/</t>
  </si>
  <si>
    <t>Implementation of statistical innovation in a pharmaceutical company - it can be done!</t>
  </si>
  <si>
    <t>files/talks/20250320_Rufibach_trial_emulation_handout.pdf</t>
  </si>
  <si>
    <t>University of Zurich "Symposium of Causal Inference in the Health Sciences"</t>
  </si>
  <si>
    <t>Aligning the target product profile with your trial design – or avoiding statistically significant but clinically irrelevant effects</t>
  </si>
  <si>
    <t>Statisticians in Finnish Pharmaceutical Industry webinar: "Probability of success"</t>
  </si>
  <si>
    <t>files/talks/20250506_Rufibach_MDD_handout.pdf</t>
  </si>
  <si>
    <t>https://www.youtube.com/watch?v=6Rmd1nQnLb4</t>
  </si>
  <si>
    <t>EORTC p-value workshop</t>
  </si>
  <si>
    <t>Decision making versus inference. p-values are not the issue.</t>
  </si>
  <si>
    <t>files/talks/20250930_Rufibach_EORTC_pvalues.pdf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</si>
</sst>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abs/2208.06707" TargetMode="External"/><Relationship Id="rId2" Type="http://schemas.openxmlformats.org/officeDocument/2006/relationships/hyperlink" Target="https://arxiv.org/abs/2208.06707" TargetMode="External"/><Relationship Id="rId1" Type="http://schemas.openxmlformats.org/officeDocument/2006/relationships/hyperlink" Target="https://baselbiometrics.github.io/home/docs/events_past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"/>
  <sheetViews>
    <sheetView tabSelected="1" workbookViewId="0">
      <pane ySplit="1" topLeftCell="A2" activePane="bottomLeft" state="frozen"/>
      <selection activeCell="C1" sqref="C1"/>
      <selection pane="bottomLeft" activeCell="B3" sqref="B3"/>
    </sheetView>
  </sheetViews>
  <sheetFormatPr defaultColWidth="11.5703125" defaultRowHeight="11.25" x14ac:dyDescent="0.2"/>
  <cols>
    <col min="1" max="1" width="9" style="1" bestFit="1" customWidth="1"/>
    <col min="2" max="2" width="8.7109375" style="2" bestFit="1" customWidth="1"/>
    <col min="3" max="3" width="73.140625" style="1" bestFit="1" customWidth="1"/>
    <col min="4" max="4" width="96.5703125" style="1" bestFit="1" customWidth="1"/>
    <col min="5" max="5" width="55.28515625" style="2" bestFit="1" customWidth="1"/>
    <col min="6" max="6" width="28" style="2" bestFit="1" customWidth="1"/>
    <col min="7" max="7" width="8.28515625" style="2" bestFit="1" customWidth="1"/>
    <col min="8" max="8" width="5.140625" style="2" bestFit="1" customWidth="1"/>
    <col min="9" max="9" width="4.140625" style="2" bestFit="1" customWidth="1"/>
    <col min="10" max="10" width="4.7109375" style="2" bestFit="1" customWidth="1"/>
    <col min="11" max="11" width="6" style="2" bestFit="1" customWidth="1"/>
    <col min="12" max="12" width="6.5703125" style="2" bestFit="1" customWidth="1"/>
    <col min="13" max="13" width="29" style="1" customWidth="1"/>
    <col min="14" max="14" width="36" style="2" bestFit="1" customWidth="1"/>
    <col min="15" max="16384" width="11.5703125" style="1"/>
  </cols>
  <sheetData>
    <row r="1" spans="1:14" x14ac:dyDescent="0.2">
      <c r="A1" s="1" t="s">
        <v>1</v>
      </c>
      <c r="B1" s="2" t="s">
        <v>11</v>
      </c>
      <c r="C1" s="1" t="s">
        <v>12</v>
      </c>
      <c r="D1" s="1" t="s">
        <v>0</v>
      </c>
      <c r="E1" s="2" t="s">
        <v>13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9</v>
      </c>
      <c r="K1" s="2" t="s">
        <v>6</v>
      </c>
      <c r="L1" s="2" t="s">
        <v>7</v>
      </c>
      <c r="M1" s="1" t="s">
        <v>8</v>
      </c>
      <c r="N1" s="2" t="s">
        <v>10</v>
      </c>
    </row>
    <row r="2" spans="1:14" x14ac:dyDescent="0.2">
      <c r="A2" s="1" t="s">
        <v>16</v>
      </c>
      <c r="B2" s="3" t="str">
        <f>"30.09.2025"</f>
        <v>30.09.2025</v>
      </c>
      <c r="C2" s="1" t="s">
        <v>108</v>
      </c>
      <c r="D2" s="1" t="s">
        <v>109</v>
      </c>
      <c r="E2" s="2" t="s">
        <v>110</v>
      </c>
    </row>
    <row r="3" spans="1:14" ht="22.5" x14ac:dyDescent="0.2">
      <c r="A3" s="1" t="s">
        <v>16</v>
      </c>
      <c r="B3" s="2" t="str">
        <f>"06.05.2025"</f>
        <v>06.05.2025</v>
      </c>
      <c r="C3" s="1" t="s">
        <v>105</v>
      </c>
      <c r="D3" s="1" t="s">
        <v>104</v>
      </c>
      <c r="E3" s="2" t="s">
        <v>106</v>
      </c>
      <c r="M3" s="1" t="s">
        <v>107</v>
      </c>
    </row>
    <row r="4" spans="1:14" ht="12.75" x14ac:dyDescent="0.2">
      <c r="A4" s="1" t="s">
        <v>16</v>
      </c>
      <c r="B4" s="2" t="str">
        <f>"20.03.2025"</f>
        <v>20.03.2025</v>
      </c>
      <c r="C4" s="1" t="s">
        <v>103</v>
      </c>
      <c r="D4" s="1" t="s">
        <v>72</v>
      </c>
      <c r="E4" s="2" t="s">
        <v>102</v>
      </c>
      <c r="F4" s="4" t="s">
        <v>74</v>
      </c>
    </row>
    <row r="5" spans="1:14" x14ac:dyDescent="0.2">
      <c r="A5" s="1" t="s">
        <v>16</v>
      </c>
      <c r="B5" s="2" t="str">
        <f>"19.03.2025"</f>
        <v>19.03.2025</v>
      </c>
      <c r="C5" s="1" t="s">
        <v>98</v>
      </c>
      <c r="D5" s="1" t="s">
        <v>101</v>
      </c>
      <c r="E5" s="2" t="s">
        <v>99</v>
      </c>
      <c r="F5" s="2" t="s">
        <v>100</v>
      </c>
    </row>
    <row r="6" spans="1:14" x14ac:dyDescent="0.2">
      <c r="A6" s="1" t="s">
        <v>16</v>
      </c>
      <c r="B6" s="2" t="str">
        <f>"23.01.2025"</f>
        <v>23.01.2025</v>
      </c>
      <c r="C6" s="1" t="s">
        <v>95</v>
      </c>
      <c r="D6" s="1" t="s">
        <v>96</v>
      </c>
      <c r="E6" s="2" t="s">
        <v>97</v>
      </c>
    </row>
    <row r="7" spans="1:14" x14ac:dyDescent="0.2">
      <c r="A7" s="1" t="s">
        <v>16</v>
      </c>
      <c r="B7" s="2" t="str">
        <f>"19.11.2024"</f>
        <v>19.11.2024</v>
      </c>
      <c r="C7" s="1" t="s">
        <v>93</v>
      </c>
      <c r="D7" s="1" t="s">
        <v>94</v>
      </c>
      <c r="E7" s="2" t="s">
        <v>92</v>
      </c>
    </row>
    <row r="8" spans="1:14" ht="12.75" x14ac:dyDescent="0.2">
      <c r="A8" s="1" t="s">
        <v>16</v>
      </c>
      <c r="B8" s="3" t="str">
        <f>"07.11.2024"</f>
        <v>07.11.2024</v>
      </c>
      <c r="C8" s="1" t="s">
        <v>88</v>
      </c>
      <c r="D8" s="1" t="s">
        <v>90</v>
      </c>
      <c r="E8" s="2" t="s">
        <v>91</v>
      </c>
      <c r="K8" s="5"/>
    </row>
    <row r="9" spans="1:14" x14ac:dyDescent="0.2">
      <c r="A9" s="1" t="s">
        <v>16</v>
      </c>
      <c r="B9" s="2" t="str">
        <f>"11.09.2024"</f>
        <v>11.09.2024</v>
      </c>
      <c r="C9" s="1" t="s">
        <v>85</v>
      </c>
      <c r="D9" s="1" t="s">
        <v>86</v>
      </c>
      <c r="E9" s="2" t="s">
        <v>87</v>
      </c>
    </row>
    <row r="10" spans="1:14" ht="12.75" x14ac:dyDescent="0.2">
      <c r="A10" s="1" t="s">
        <v>16</v>
      </c>
      <c r="B10" s="2" t="str">
        <f>"23.05.2024"</f>
        <v>23.05.2024</v>
      </c>
      <c r="C10" s="1" t="s">
        <v>71</v>
      </c>
      <c r="D10" s="1" t="s">
        <v>72</v>
      </c>
      <c r="E10" s="2" t="s">
        <v>73</v>
      </c>
      <c r="F10" s="4" t="s">
        <v>74</v>
      </c>
    </row>
    <row r="11" spans="1:14" ht="168.75" x14ac:dyDescent="0.2">
      <c r="A11" s="1" t="s">
        <v>16</v>
      </c>
      <c r="B11" s="2" t="str">
        <f>"15.02.2024"</f>
        <v>15.02.2024</v>
      </c>
      <c r="C11" s="1" t="s">
        <v>89</v>
      </c>
      <c r="D11" s="1" t="s">
        <v>70</v>
      </c>
      <c r="E11" s="2" t="s">
        <v>69</v>
      </c>
      <c r="K11" s="2" t="s">
        <v>65</v>
      </c>
    </row>
    <row r="12" spans="1:14" ht="22.5" x14ac:dyDescent="0.2">
      <c r="A12" s="1" t="s">
        <v>16</v>
      </c>
      <c r="B12" s="3" t="str">
        <f>"23.10.2023"</f>
        <v>23.10.2023</v>
      </c>
      <c r="C12" s="1" t="s">
        <v>52</v>
      </c>
      <c r="D12" s="1" t="s">
        <v>29</v>
      </c>
      <c r="E12" s="2" t="s">
        <v>53</v>
      </c>
    </row>
    <row r="13" spans="1:14" x14ac:dyDescent="0.2">
      <c r="A13" s="1" t="s">
        <v>16</v>
      </c>
      <c r="B13" s="2" t="str">
        <f>"12.10.2023"</f>
        <v>12.10.2023</v>
      </c>
      <c r="C13" s="1" t="s">
        <v>57</v>
      </c>
      <c r="D13" s="1" t="s">
        <v>50</v>
      </c>
      <c r="E13" s="2" t="s">
        <v>51</v>
      </c>
    </row>
    <row r="14" spans="1:14" x14ac:dyDescent="0.2">
      <c r="A14" s="1" t="s">
        <v>16</v>
      </c>
      <c r="B14" s="2" t="str">
        <f>"18.09.2023"</f>
        <v>18.09.2023</v>
      </c>
      <c r="C14" s="1" t="s">
        <v>44</v>
      </c>
      <c r="D14" s="1" t="s">
        <v>45</v>
      </c>
      <c r="E14" s="2" t="s">
        <v>46</v>
      </c>
    </row>
    <row r="15" spans="1:14" ht="22.5" x14ac:dyDescent="0.2">
      <c r="A15" s="1" t="s">
        <v>16</v>
      </c>
      <c r="B15" s="3" t="str">
        <f>"30.08.2023"</f>
        <v>30.08.2023</v>
      </c>
      <c r="C15" s="1" t="s">
        <v>26</v>
      </c>
      <c r="D15" s="1" t="s">
        <v>54</v>
      </c>
      <c r="E15" s="2" t="s">
        <v>30</v>
      </c>
      <c r="M15" s="1" t="s">
        <v>39</v>
      </c>
      <c r="N15" s="2" t="s">
        <v>40</v>
      </c>
    </row>
    <row r="16" spans="1:14" x14ac:dyDescent="0.2">
      <c r="A16" s="1" t="s">
        <v>16</v>
      </c>
      <c r="B16" s="3" t="str">
        <f>"09.08.2023"</f>
        <v>09.08.2023</v>
      </c>
      <c r="C16" s="1" t="s">
        <v>14</v>
      </c>
      <c r="D16" s="1" t="s">
        <v>15</v>
      </c>
      <c r="E16" s="2" t="s">
        <v>17</v>
      </c>
    </row>
    <row r="17" spans="1:14" ht="56.25" x14ac:dyDescent="0.2">
      <c r="A17" s="1" t="s">
        <v>16</v>
      </c>
      <c r="B17" s="3" t="str">
        <f>"12.04.2023"</f>
        <v>12.04.2023</v>
      </c>
      <c r="C17" s="1" t="s">
        <v>33</v>
      </c>
      <c r="D17" s="1" t="s">
        <v>32</v>
      </c>
      <c r="E17" s="4" t="s">
        <v>31</v>
      </c>
      <c r="M17" s="1" t="s">
        <v>31</v>
      </c>
      <c r="N17" s="2" t="s">
        <v>43</v>
      </c>
    </row>
    <row r="18" spans="1:14" x14ac:dyDescent="0.2">
      <c r="A18" s="1" t="s">
        <v>16</v>
      </c>
      <c r="B18" s="2" t="str">
        <f>"08.08.2022"</f>
        <v>08.08.2022</v>
      </c>
      <c r="C18" s="1" t="s">
        <v>34</v>
      </c>
      <c r="D18" s="1" t="s">
        <v>23</v>
      </c>
      <c r="E18" s="2" t="s">
        <v>24</v>
      </c>
    </row>
    <row r="19" spans="1:14" x14ac:dyDescent="0.2">
      <c r="A19" s="1" t="s">
        <v>16</v>
      </c>
      <c r="B19" s="2" t="str">
        <f>"22.02.2022"</f>
        <v>22.02.2022</v>
      </c>
      <c r="C19" s="1" t="s">
        <v>47</v>
      </c>
      <c r="D19" s="1" t="s">
        <v>48</v>
      </c>
      <c r="E19" s="2" t="s">
        <v>49</v>
      </c>
    </row>
    <row r="20" spans="1:14" x14ac:dyDescent="0.2">
      <c r="A20" s="1" t="s">
        <v>16</v>
      </c>
      <c r="B20" s="2" t="str">
        <f>"16.12.2021"</f>
        <v>16.12.2021</v>
      </c>
      <c r="C20" s="1" t="s">
        <v>60</v>
      </c>
      <c r="D20" s="1" t="s">
        <v>59</v>
      </c>
      <c r="E20" s="2" t="s">
        <v>58</v>
      </c>
    </row>
    <row r="21" spans="1:14" ht="22.5" x14ac:dyDescent="0.2">
      <c r="A21" s="1" t="s">
        <v>16</v>
      </c>
      <c r="B21" s="2" t="str">
        <f>"19.05.2021"</f>
        <v>19.05.2021</v>
      </c>
      <c r="C21" s="1" t="s">
        <v>77</v>
      </c>
      <c r="D21" s="1" t="s">
        <v>75</v>
      </c>
      <c r="E21" s="2" t="s">
        <v>76</v>
      </c>
      <c r="M21" s="1" t="s">
        <v>78</v>
      </c>
    </row>
    <row r="22" spans="1:14" x14ac:dyDescent="0.2">
      <c r="A22" s="1" t="s">
        <v>16</v>
      </c>
      <c r="B22" s="3" t="str">
        <f>"11.02.2021"</f>
        <v>11.02.2021</v>
      </c>
      <c r="C22" s="1" t="s">
        <v>57</v>
      </c>
      <c r="D22" s="1" t="s">
        <v>56</v>
      </c>
      <c r="E22" s="2" t="s">
        <v>55</v>
      </c>
    </row>
    <row r="23" spans="1:14" x14ac:dyDescent="0.2">
      <c r="A23" s="1" t="s">
        <v>16</v>
      </c>
      <c r="B23" s="2" t="str">
        <f>"20.12.2020"</f>
        <v>20.12.2020</v>
      </c>
      <c r="C23" s="1" t="s">
        <v>67</v>
      </c>
      <c r="D23" s="1" t="s">
        <v>68</v>
      </c>
      <c r="E23" s="2" t="s">
        <v>66</v>
      </c>
    </row>
    <row r="24" spans="1:14" ht="22.5" x14ac:dyDescent="0.2">
      <c r="A24" s="1" t="s">
        <v>16</v>
      </c>
      <c r="B24" s="3" t="str">
        <f>"23.05.2019"</f>
        <v>23.05.2019</v>
      </c>
      <c r="C24" s="1" t="s">
        <v>82</v>
      </c>
      <c r="D24" s="1" t="s">
        <v>83</v>
      </c>
      <c r="E24" s="2" t="s">
        <v>84</v>
      </c>
    </row>
    <row r="25" spans="1:14" x14ac:dyDescent="0.2">
      <c r="A25" s="1" t="s">
        <v>16</v>
      </c>
      <c r="B25" s="3" t="str">
        <f>"10.09.2018"</f>
        <v>10.09.2018</v>
      </c>
      <c r="C25" s="1" t="s">
        <v>22</v>
      </c>
      <c r="D25" s="1" t="s">
        <v>21</v>
      </c>
      <c r="E25" s="2" t="s">
        <v>20</v>
      </c>
    </row>
    <row r="26" spans="1:14" x14ac:dyDescent="0.2">
      <c r="A26" s="1" t="s">
        <v>16</v>
      </c>
      <c r="B26" s="3" t="str">
        <f>"28.04.2016"</f>
        <v>28.04.2016</v>
      </c>
      <c r="C26" s="1" t="s">
        <v>38</v>
      </c>
      <c r="D26" s="1" t="s">
        <v>36</v>
      </c>
      <c r="E26" s="2" t="s">
        <v>37</v>
      </c>
    </row>
    <row r="27" spans="1:14" ht="22.5" x14ac:dyDescent="0.2">
      <c r="A27" s="1" t="s">
        <v>18</v>
      </c>
      <c r="B27" s="3" t="str">
        <f>"19.06.2024"</f>
        <v>19.06.2024</v>
      </c>
      <c r="C27" s="1" t="s">
        <v>79</v>
      </c>
      <c r="D27" s="1" t="s">
        <v>80</v>
      </c>
      <c r="E27" s="2" t="s">
        <v>81</v>
      </c>
    </row>
    <row r="28" spans="1:14" ht="22.5" x14ac:dyDescent="0.2">
      <c r="A28" s="1" t="s">
        <v>18</v>
      </c>
      <c r="B28" s="3" t="str">
        <f>"28.08.2023"</f>
        <v>28.08.2023</v>
      </c>
      <c r="C28" s="1" t="s">
        <v>35</v>
      </c>
      <c r="D28" s="1" t="s">
        <v>28</v>
      </c>
      <c r="E28" s="2" t="s">
        <v>25</v>
      </c>
      <c r="M28" s="1" t="s">
        <v>41</v>
      </c>
      <c r="N28" s="2" t="s">
        <v>42</v>
      </c>
    </row>
    <row r="29" spans="1:14" ht="22.5" x14ac:dyDescent="0.2">
      <c r="A29" s="1" t="s">
        <v>18</v>
      </c>
      <c r="B29" s="3" t="str">
        <f>"22.08.2022                         "</f>
        <v xml:space="preserve">22.08.2022                         </v>
      </c>
      <c r="C29" s="1" t="s">
        <v>27</v>
      </c>
      <c r="D29" s="1" t="s">
        <v>61</v>
      </c>
      <c r="E29" s="2" t="s">
        <v>19</v>
      </c>
    </row>
    <row r="30" spans="1:14" ht="22.5" x14ac:dyDescent="0.2">
      <c r="A30" s="1" t="s">
        <v>18</v>
      </c>
      <c r="B30" s="3" t="str">
        <f>"16.06.2015"</f>
        <v>16.06.2015</v>
      </c>
      <c r="C30" s="1" t="s">
        <v>63</v>
      </c>
      <c r="D30" s="1" t="s">
        <v>64</v>
      </c>
      <c r="E30" s="2" t="s">
        <v>62</v>
      </c>
    </row>
  </sheetData>
  <sheetProtection selectLockedCells="1" selectUnlockedCells="1"/>
  <sortState xmlns:xlrd2="http://schemas.microsoft.com/office/spreadsheetml/2017/richdata2" ref="A10:N28">
    <sortCondition descending="1" ref="A10:A28"/>
    <sortCondition descending="1" ref="B10:B28"/>
  </sortState>
  <hyperlinks>
    <hyperlink ref="E17" r:id="rId1" location="quantification-of-risk-ask-the-right-questions-or-time-to-apply-the-estimand-framework-to-safety" xr:uid="{00000000-0004-0000-0000-000000000000}"/>
    <hyperlink ref="F10" r:id="rId2" xr:uid="{00000000-0004-0000-0000-000001000000}"/>
    <hyperlink ref="F4" r:id="rId3" xr:uid="{A9F0675B-0F44-448E-A757-25BD626F7097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4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2025-09-27T13:33:00Z</dcterms:modified>
</cp:coreProperties>
</file>