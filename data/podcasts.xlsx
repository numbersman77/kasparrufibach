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ufibach\90_github_repos\kasparrufibach\data\"/>
    </mc:Choice>
  </mc:AlternateContent>
  <xr:revisionPtr revIDLastSave="0" documentId="13_ncr:1_{37C3A9E4-D54C-42EA-85C6-05471A24F734}" xr6:coauthVersionLast="47" xr6:coauthVersionMax="47" xr10:uidLastSave="{00000000-0000-0000-0000-000000000000}"/>
  <bookViews>
    <workbookView xWindow="-120" yWindow="-120" windowWidth="29040" windowHeight="15720" tabRatio="61" xr2:uid="{00000000-000D-0000-FFFF-FFFF00000000}"/>
  </bookViews>
  <sheets>
    <sheet name="Tabelle1" sheetId="1" r:id="rId1"/>
  </sheets>
  <definedNames>
    <definedName name="_xlnm._FilterDatabase" localSheetId="0" hidden="1">Tabelle1!$A$1:$L$121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2" i="1" l="1"/>
  <c r="A11" i="1"/>
  <c r="A16" i="1" l="1"/>
  <c r="A15" i="1"/>
  <c r="A14" i="1"/>
  <c r="A13" i="1"/>
</calcChain>
</file>

<file path=xl/sharedStrings.xml><?xml version="1.0" encoding="utf-8"?>
<sst xmlns="http://schemas.openxmlformats.org/spreadsheetml/2006/main" count="56" uniqueCount="42">
  <si>
    <t>Title</t>
  </si>
  <si>
    <t>Date</t>
  </si>
  <si>
    <t>Forum</t>
  </si>
  <si>
    <t>Link</t>
  </si>
  <si>
    <t>The effective statistician podcast</t>
  </si>
  <si>
    <t>Roche R&amp;D academy horizon magazine</t>
  </si>
  <si>
    <t xml:space="preserve">Driving Statistical Innovation – Barriers And Strategies Part 2 </t>
  </si>
  <si>
    <t xml:space="preserve">Driving Statistical Innovation – Barriers And Strategies Part 1 </t>
  </si>
  <si>
    <t xml:space="preserve">200th episode - invited as one of contributors to the 10\% most downloaded podcasts </t>
  </si>
  <si>
    <t xml:space="preserve">SAVVY - a principled approach to the analysis of safety data </t>
  </si>
  <si>
    <t xml:space="preserve">Put the question first! A plea for a principled approach to plan RWD studies </t>
  </si>
  <si>
    <t xml:space="preserve">A deep dive into principal stratification and causal inference </t>
  </si>
  <si>
    <t>Co-presenter</t>
  </si>
  <si>
    <t>Mouna Akacha</t>
  </si>
  <si>
    <t>Jan Beyersmann</t>
  </si>
  <si>
    <t>Dominik Heinzmann</t>
  </si>
  <si>
    <t>Björn Bornkamp</t>
  </si>
  <si>
    <t>https://theeffectivestatistician.com/driving-statistical-innovation-barriers-and-strategies-part-2/</t>
  </si>
  <si>
    <t>https://theeffectivestatistician.com/driving-statistical-innovation-barriers-and-strategies/</t>
  </si>
  <si>
    <t>https://theeffectivestatistician.com/200th-episode/</t>
  </si>
  <si>
    <t>https://theeffectivestatistician.com/the-analysis-of-adverse-events-done-right-savvy/</t>
  </si>
  <si>
    <t>https://theeffectivestatistician.com/a-deep-dive-into-principal-stratification-and-causal-inference/</t>
  </si>
  <si>
    <t>https://theeffectivestatistician.com/managing-hype-in-statistics/</t>
  </si>
  <si>
    <t>Managing hype in statistics</t>
  </si>
  <si>
    <t>Introduction to dealing with non-proportional hazards</t>
  </si>
  <si>
    <t>https://theeffectivestatistician.com/introduction-to-dealing-with-non-proportional-hazards/</t>
  </si>
  <si>
    <t>https://theeffectivestatistician.com/p-value-and-confidence-intervals-the-good-the-bad-and-the-ugly/</t>
  </si>
  <si>
    <t>P-value and confidence intervals -- the good, the bad, and the ugly</t>
  </si>
  <si>
    <t>Clarifying confusions around interim, primary, final, and other analyses in clinical trials</t>
  </si>
  <si>
    <t>https://theeffectivestatistician.com/clarifying-confusions-around-interim-primary-final-and-other-analyses-in-clinical-trial/</t>
  </si>
  <si>
    <t>Introduction to Adaptive Designs and ICH E20</t>
  </si>
  <si>
    <t>https://theeffectivestatistician.com/introduction-to-adaptive-designs-and-ich-e20/</t>
  </si>
  <si>
    <t>How to communicate results from adaptive studies simple, but still correct</t>
  </si>
  <si>
    <t>https://theeffectivestatistician.com/how-to-communicate-results-from-adaptive-studies-simple-but-still-correct/</t>
  </si>
  <si>
    <t>https://www.berryconsultants.com/resource/39-discussion-with-kaspar-rufibach</t>
  </si>
  <si>
    <t>In the interim... Podcast</t>
  </si>
  <si>
    <t>Discussion with Kaspar Rufibach</t>
  </si>
  <si>
    <t>https://theeffectivestatistician.com/why-to-present-better-and-how-as-a-statistician/</t>
  </si>
  <si>
    <t>Why to present better and how as a statistician</t>
  </si>
  <si>
    <t>https://www.berryconsultants.com/resource/82-statistical-methodology-groups-in-the-pharmaceutical-industry</t>
  </si>
  <si>
    <t>Statistical Methodology Groups in the Pharmaceutical Industry</t>
  </si>
  <si>
    <t>Jenny Devenport, May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</si>
</sst>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effectivestatistician.com/clarifying-confusions-around-interim-primary-final-and-other-analyses-in-clinical-trial/" TargetMode="External"/><Relationship Id="rId2" Type="http://schemas.openxmlformats.org/officeDocument/2006/relationships/hyperlink" Target="https://theeffectivestatistician.com/p-value-and-confidence-intervals-the-good-the-bad-and-the-ugly/" TargetMode="External"/><Relationship Id="rId1" Type="http://schemas.openxmlformats.org/officeDocument/2006/relationships/hyperlink" Target="https://theeffectivestatistician.com/introduction-to-dealing-with-non-proportional-hazards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heeffectivestatistician.com/how-to-communicate-results-from-adaptive-studies-simple-but-still-corre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ySplit="1" topLeftCell="A2" activePane="bottomLeft" state="frozen"/>
      <selection activeCell="C1" sqref="C1"/>
      <selection pane="bottomLeft" activeCell="D39" sqref="D39"/>
    </sheetView>
  </sheetViews>
  <sheetFormatPr defaultColWidth="12.5703125" defaultRowHeight="11.25" x14ac:dyDescent="0.2"/>
  <cols>
    <col min="1" max="1" width="8.7109375" style="2" bestFit="1" customWidth="1"/>
    <col min="2" max="2" width="28.7109375" style="3" bestFit="1" customWidth="1"/>
    <col min="3" max="3" width="61.85546875" style="3" bestFit="1" customWidth="1"/>
    <col min="4" max="4" width="25" style="3" customWidth="1"/>
    <col min="5" max="5" width="86.140625" style="3" bestFit="1" customWidth="1"/>
    <col min="6" max="11" width="12.5703125" style="2"/>
    <col min="12" max="16384" width="12.5703125" style="1"/>
  </cols>
  <sheetData>
    <row r="1" spans="1:13" x14ac:dyDescent="0.2">
      <c r="A1" s="2" t="s">
        <v>1</v>
      </c>
      <c r="B1" s="3" t="s">
        <v>2</v>
      </c>
      <c r="C1" s="3" t="s">
        <v>0</v>
      </c>
      <c r="D1" s="3" t="s">
        <v>12</v>
      </c>
      <c r="E1" s="3" t="s">
        <v>3</v>
      </c>
      <c r="M1" s="2"/>
    </row>
    <row r="2" spans="1:13" x14ac:dyDescent="0.2">
      <c r="A2" s="2" t="str">
        <f>"19.10.2026"</f>
        <v>19.10.2026</v>
      </c>
      <c r="B2" s="3" t="s">
        <v>35</v>
      </c>
      <c r="C2" s="3" t="s">
        <v>40</v>
      </c>
      <c r="D2" s="3" t="s">
        <v>41</v>
      </c>
      <c r="E2" s="3" t="s">
        <v>39</v>
      </c>
      <c r="M2" s="2"/>
    </row>
    <row r="3" spans="1:13" x14ac:dyDescent="0.2">
      <c r="A3" s="4" t="str">
        <f>"02.12.2025"</f>
        <v>02.12.2025</v>
      </c>
      <c r="B3" s="3" t="s">
        <v>4</v>
      </c>
      <c r="C3" s="1" t="s">
        <v>38</v>
      </c>
      <c r="E3" s="3" t="s">
        <v>37</v>
      </c>
      <c r="M3" s="2"/>
    </row>
    <row r="4" spans="1:13" x14ac:dyDescent="0.2">
      <c r="A4" s="4" t="str">
        <f>"01.12.2025"</f>
        <v>01.12.2025</v>
      </c>
      <c r="B4" s="3" t="s">
        <v>35</v>
      </c>
      <c r="C4" s="3" t="s">
        <v>36</v>
      </c>
      <c r="E4" s="3" t="s">
        <v>34</v>
      </c>
      <c r="M4" s="2"/>
    </row>
    <row r="5" spans="1:13" ht="25.5" x14ac:dyDescent="0.2">
      <c r="A5" s="2" t="str">
        <f>"29.10.2025"</f>
        <v>29.10.2025</v>
      </c>
      <c r="B5" s="3" t="s">
        <v>4</v>
      </c>
      <c r="C5" s="3" t="s">
        <v>32</v>
      </c>
      <c r="E5" s="5" t="s">
        <v>33</v>
      </c>
      <c r="M5" s="2"/>
    </row>
    <row r="6" spans="1:13" x14ac:dyDescent="0.2">
      <c r="A6" s="4" t="str">
        <f>"21.10.2025"</f>
        <v>21.10.2025</v>
      </c>
      <c r="B6" s="3" t="s">
        <v>4</v>
      </c>
      <c r="C6" s="3" t="s">
        <v>30</v>
      </c>
      <c r="E6" s="3" t="s">
        <v>31</v>
      </c>
      <c r="M6" s="2"/>
    </row>
    <row r="7" spans="1:13" x14ac:dyDescent="0.2">
      <c r="A7" s="2" t="str">
        <f>"17.04.2025"</f>
        <v>17.04.2025</v>
      </c>
      <c r="B7" s="3" t="s">
        <v>4</v>
      </c>
      <c r="C7" s="3" t="s">
        <v>28</v>
      </c>
      <c r="E7" s="3" t="s">
        <v>29</v>
      </c>
      <c r="M7" s="2"/>
    </row>
    <row r="8" spans="1:13" x14ac:dyDescent="0.2">
      <c r="A8" s="2" t="str">
        <f>"11.03.2025"</f>
        <v>11.03.2025</v>
      </c>
      <c r="B8" s="3" t="s">
        <v>4</v>
      </c>
      <c r="C8" s="1" t="s">
        <v>27</v>
      </c>
      <c r="E8" s="3" t="s">
        <v>26</v>
      </c>
      <c r="M8" s="2"/>
    </row>
    <row r="9" spans="1:13" x14ac:dyDescent="0.2">
      <c r="A9" s="2" t="str">
        <f>"04.12.2024"</f>
        <v>04.12.2024</v>
      </c>
      <c r="B9" s="3" t="s">
        <v>4</v>
      </c>
      <c r="C9" s="3" t="s">
        <v>24</v>
      </c>
      <c r="E9" s="3" t="s">
        <v>25</v>
      </c>
      <c r="M9" s="2"/>
    </row>
    <row r="10" spans="1:13" x14ac:dyDescent="0.2">
      <c r="A10" s="2" t="str">
        <f>"25.06.2024"</f>
        <v>25.06.2024</v>
      </c>
      <c r="B10" s="3" t="s">
        <v>4</v>
      </c>
      <c r="C10" s="3" t="s">
        <v>23</v>
      </c>
      <c r="E10" s="3" t="s">
        <v>22</v>
      </c>
      <c r="M10" s="2"/>
    </row>
    <row r="11" spans="1:13" x14ac:dyDescent="0.2">
      <c r="A11" s="4" t="str">
        <f>"04.07.2023                                                              "</f>
        <v xml:space="preserve">04.07.2023                                                              </v>
      </c>
      <c r="B11" s="3" t="s">
        <v>4</v>
      </c>
      <c r="C11" s="3" t="s">
        <v>6</v>
      </c>
      <c r="D11" s="3" t="s">
        <v>13</v>
      </c>
      <c r="E11" s="3" t="s">
        <v>17</v>
      </c>
    </row>
    <row r="12" spans="1:13" x14ac:dyDescent="0.2">
      <c r="A12" s="4" t="str">
        <f>"01.07.2023"</f>
        <v>01.07.2023</v>
      </c>
      <c r="B12" s="3" t="s">
        <v>4</v>
      </c>
      <c r="C12" s="3" t="s">
        <v>7</v>
      </c>
      <c r="D12" s="3" t="s">
        <v>13</v>
      </c>
      <c r="E12" s="3" t="s">
        <v>18</v>
      </c>
    </row>
    <row r="13" spans="1:13" x14ac:dyDescent="0.2">
      <c r="A13" s="4" t="str">
        <f>"01.12.2021"</f>
        <v>01.12.2021</v>
      </c>
      <c r="B13" s="3" t="s">
        <v>4</v>
      </c>
      <c r="C13" s="3" t="s">
        <v>8</v>
      </c>
      <c r="D13" s="3" t="s">
        <v>14</v>
      </c>
      <c r="E13" s="3" t="s">
        <v>19</v>
      </c>
    </row>
    <row r="14" spans="1:13" x14ac:dyDescent="0.2">
      <c r="A14" s="4" t="str">
        <f>"06.07.2021"</f>
        <v>06.07.2021</v>
      </c>
      <c r="B14" s="3" t="s">
        <v>4</v>
      </c>
      <c r="C14" s="3" t="s">
        <v>9</v>
      </c>
      <c r="D14" s="3" t="s">
        <v>14</v>
      </c>
      <c r="E14" s="3" t="s">
        <v>20</v>
      </c>
    </row>
    <row r="15" spans="1:13" x14ac:dyDescent="0.2">
      <c r="A15" s="4" t="str">
        <f>"30.04.2021"</f>
        <v>30.04.2021</v>
      </c>
      <c r="B15" s="3" t="s">
        <v>5</v>
      </c>
      <c r="C15" s="3" t="s">
        <v>10</v>
      </c>
      <c r="D15" s="3" t="s">
        <v>15</v>
      </c>
    </row>
    <row r="16" spans="1:13" x14ac:dyDescent="0.2">
      <c r="A16" s="4" t="str">
        <f>"17.11.2020"</f>
        <v>17.11.2020</v>
      </c>
      <c r="B16" s="3" t="s">
        <v>4</v>
      </c>
      <c r="C16" s="3" t="s">
        <v>11</v>
      </c>
      <c r="D16" s="3" t="s">
        <v>16</v>
      </c>
      <c r="E16" s="3" t="s">
        <v>21</v>
      </c>
    </row>
  </sheetData>
  <sheetProtection selectLockedCells="1" selectUnlockedCells="1"/>
  <hyperlinks>
    <hyperlink ref="E9" r:id="rId1" xr:uid="{8F676C36-0CE6-4143-910B-5E0B86FD9B16}"/>
    <hyperlink ref="E8" r:id="rId2" xr:uid="{9B32EC29-C677-431C-9FA4-C54734811394}"/>
    <hyperlink ref="E7" r:id="rId3" xr:uid="{697EB231-C50A-4026-AE5A-6608B3A8768B}"/>
    <hyperlink ref="E5" r:id="rId4" xr:uid="{813AAA8E-B2D2-4918-9811-B8176C6F313C}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5"/>
  <headerFooter alignWithMargins="0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{TBV~BASEL}</dc:creator>
  <cp:lastModifiedBy>Kaspar Rufibach</cp:lastModifiedBy>
  <dcterms:created xsi:type="dcterms:W3CDTF">2023-07-07T18:34:24Z</dcterms:created>
  <dcterms:modified xsi:type="dcterms:W3CDTF">2026-10-19T11:44:53Z</dcterms:modified>
</cp:coreProperties>
</file>