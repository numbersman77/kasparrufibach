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FB3DA563-0AEB-4717-9F1E-07468C7C3B43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Tabelle1!$A$1:$L$118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9" i="1" l="1"/>
  <c r="A8" i="1"/>
  <c r="A13" i="1" l="1"/>
  <c r="A12" i="1"/>
  <c r="A11" i="1"/>
  <c r="A10" i="1"/>
</calcChain>
</file>

<file path=xl/sharedStrings.xml><?xml version="1.0" encoding="utf-8"?>
<sst xmlns="http://schemas.openxmlformats.org/spreadsheetml/2006/main" count="46" uniqueCount="34">
  <si>
    <t>Title</t>
  </si>
  <si>
    <t>Date</t>
  </si>
  <si>
    <t>Forum</t>
  </si>
  <si>
    <t>Link</t>
  </si>
  <si>
    <t>The effective statistician podcast</t>
  </si>
  <si>
    <t>Roche R&amp;D academy horizon magazine</t>
  </si>
  <si>
    <t xml:space="preserve">Driving Statistical Innovation – Barriers And Strategies Part 2 </t>
  </si>
  <si>
    <t xml:space="preserve">Driving Statistical Innovation – Barriers And Strategies Part 1 </t>
  </si>
  <si>
    <t xml:space="preserve">200th episode - invited as one of contributors to the 10\% most downloaded podcasts </t>
  </si>
  <si>
    <t xml:space="preserve">SAVVY - a principled approach to the analysis of safety data </t>
  </si>
  <si>
    <t xml:space="preserve">Put the question first! A plea for a principled approach to plan RWD studies </t>
  </si>
  <si>
    <t xml:space="preserve">A deep dive into principal stratification and causal inference </t>
  </si>
  <si>
    <t>Co-presenter</t>
  </si>
  <si>
    <t>Mouna Akacha</t>
  </si>
  <si>
    <t>Jan Beyersmann</t>
  </si>
  <si>
    <t>Dominik Heinzmann</t>
  </si>
  <si>
    <t>Björn Bornkamp</t>
  </si>
  <si>
    <t>https://theeffectivestatistician.com/driving-statistical-innovation-barriers-and-strategies-part-2/</t>
  </si>
  <si>
    <t>https://theeffectivestatistician.com/driving-statistical-innovation-barriers-and-strategies/</t>
  </si>
  <si>
    <t>https://theeffectivestatistician.com/200th-episode/</t>
  </si>
  <si>
    <t>https://theeffectivestatistician.com/the-analysis-of-adverse-events-done-right-savvy/</t>
  </si>
  <si>
    <t>https://theeffectivestatistician.com/a-deep-dive-into-principal-stratification-and-causal-inference/</t>
  </si>
  <si>
    <t>https://theeffectivestatistician.com/managing-hype-in-statistics/</t>
  </si>
  <si>
    <t>Managing hype in statistics</t>
  </si>
  <si>
    <t>Introduction to dealing with non-proportional hazards</t>
  </si>
  <si>
    <t>https://theeffectivestatistician.com/introduction-to-dealing-with-non-proportional-hazards/</t>
  </si>
  <si>
    <t>https://theeffectivestatistician.com/p-value-and-confidence-intervals-the-good-the-bad-and-the-ugly/</t>
  </si>
  <si>
    <t>P-value and confidence intervals -- the good, the bad, and the ugly</t>
  </si>
  <si>
    <t>Clarifying confusions around interim, primary, final, and other analyses in clinical trials</t>
  </si>
  <si>
    <t>https://theeffectivestatistician.com/clarifying-confusions-around-interim-primary-final-and-other-analyses-in-clinical-trial/</t>
  </si>
  <si>
    <t>Introduction to Adaptive Designs and ICH E20</t>
  </si>
  <si>
    <t>https://theeffectivestatistician.com/introduction-to-adaptive-designs-and-ich-e20/</t>
  </si>
  <si>
    <t>How to communicate results from adaptive studies simple, but still correct</t>
  </si>
  <si>
    <t>https://theeffectivestatistician.com/how-to-communicate-results-from-adaptive-studies-simple-but-still-correct/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</si>
</sst>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4" fontId="1" fillId="0" borderId="0" xfId="0" applyNumberFormat="1" applyFont="1" applyAlignment="1">
      <alignment horizontal="center"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heeffectivestatistician.com/clarifying-confusions-around-interim-primary-final-and-other-analyses-in-clinical-trial/" TargetMode="External"/><Relationship Id="rId2" Type="http://schemas.openxmlformats.org/officeDocument/2006/relationships/hyperlink" Target="https://theeffectivestatistician.com/p-value-and-confidence-intervals-the-good-the-bad-and-the-ugly/" TargetMode="External"/><Relationship Id="rId1" Type="http://schemas.openxmlformats.org/officeDocument/2006/relationships/hyperlink" Target="https://theeffectivestatistician.com/introduction-to-dealing-with-non-proportional-hazards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theeffectivestatistician.com/how-to-communicate-results-from-adaptive-studies-simple-but-still-corre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pane ySplit="1" topLeftCell="A2" activePane="bottomLeft" state="frozen"/>
      <selection activeCell="C1" sqref="C1"/>
      <selection pane="bottomLeft" activeCell="E2" sqref="E2"/>
    </sheetView>
  </sheetViews>
  <sheetFormatPr defaultColWidth="12.54296875" defaultRowHeight="10" x14ac:dyDescent="0.25"/>
  <cols>
    <col min="1" max="1" width="8.7265625" style="2" bestFit="1" customWidth="1"/>
    <col min="2" max="2" width="28.7265625" style="3" bestFit="1" customWidth="1"/>
    <col min="3" max="3" width="61.81640625" style="3" bestFit="1" customWidth="1"/>
    <col min="4" max="4" width="14.26953125" style="3" bestFit="1" customWidth="1"/>
    <col min="5" max="5" width="86.1796875" style="3" bestFit="1" customWidth="1"/>
    <col min="6" max="11" width="12.54296875" style="2"/>
    <col min="12" max="16384" width="12.54296875" style="1"/>
  </cols>
  <sheetData>
    <row r="1" spans="1:13" x14ac:dyDescent="0.25">
      <c r="A1" s="2" t="s">
        <v>1</v>
      </c>
      <c r="B1" s="3" t="s">
        <v>2</v>
      </c>
      <c r="C1" s="3" t="s">
        <v>0</v>
      </c>
      <c r="D1" s="3" t="s">
        <v>12</v>
      </c>
      <c r="E1" s="3" t="s">
        <v>3</v>
      </c>
      <c r="M1" s="2"/>
    </row>
    <row r="2" spans="1:13" ht="25" x14ac:dyDescent="0.25">
      <c r="A2" s="2" t="str">
        <f>"29.10.2025"</f>
        <v>29.10.2025</v>
      </c>
      <c r="B2" s="3" t="s">
        <v>4</v>
      </c>
      <c r="C2" s="3" t="s">
        <v>32</v>
      </c>
      <c r="E2" s="5" t="s">
        <v>33</v>
      </c>
      <c r="M2" s="2"/>
    </row>
    <row r="3" spans="1:13" x14ac:dyDescent="0.25">
      <c r="A3" s="4" t="str">
        <f>"21.10.2025"</f>
        <v>21.10.2025</v>
      </c>
      <c r="B3" s="3" t="s">
        <v>4</v>
      </c>
      <c r="C3" s="3" t="s">
        <v>30</v>
      </c>
      <c r="E3" s="3" t="s">
        <v>31</v>
      </c>
      <c r="M3" s="2"/>
    </row>
    <row r="4" spans="1:13" x14ac:dyDescent="0.25">
      <c r="A4" s="2" t="str">
        <f>"17.04.2025"</f>
        <v>17.04.2025</v>
      </c>
      <c r="B4" s="3" t="s">
        <v>4</v>
      </c>
      <c r="C4" s="3" t="s">
        <v>28</v>
      </c>
      <c r="E4" s="3" t="s">
        <v>29</v>
      </c>
      <c r="M4" s="2"/>
    </row>
    <row r="5" spans="1:13" x14ac:dyDescent="0.25">
      <c r="A5" s="2" t="str">
        <f>"11.03.2025"</f>
        <v>11.03.2025</v>
      </c>
      <c r="B5" s="3" t="s">
        <v>4</v>
      </c>
      <c r="C5" s="1" t="s">
        <v>27</v>
      </c>
      <c r="E5" s="3" t="s">
        <v>26</v>
      </c>
      <c r="M5" s="2"/>
    </row>
    <row r="6" spans="1:13" x14ac:dyDescent="0.25">
      <c r="A6" s="2" t="str">
        <f>"04.12.2024"</f>
        <v>04.12.2024</v>
      </c>
      <c r="B6" s="3" t="s">
        <v>4</v>
      </c>
      <c r="C6" s="3" t="s">
        <v>24</v>
      </c>
      <c r="E6" s="3" t="s">
        <v>25</v>
      </c>
      <c r="M6" s="2"/>
    </row>
    <row r="7" spans="1:13" x14ac:dyDescent="0.25">
      <c r="A7" s="2" t="str">
        <f>"25.06.2024"</f>
        <v>25.06.2024</v>
      </c>
      <c r="B7" s="3" t="s">
        <v>4</v>
      </c>
      <c r="C7" s="3" t="s">
        <v>23</v>
      </c>
      <c r="E7" s="3" t="s">
        <v>22</v>
      </c>
      <c r="M7" s="2"/>
    </row>
    <row r="8" spans="1:13" x14ac:dyDescent="0.25">
      <c r="A8" s="4" t="str">
        <f>"04.07.2023                                                              "</f>
        <v xml:space="preserve">04.07.2023                                                              </v>
      </c>
      <c r="B8" s="3" t="s">
        <v>4</v>
      </c>
      <c r="C8" s="3" t="s">
        <v>6</v>
      </c>
      <c r="D8" s="3" t="s">
        <v>13</v>
      </c>
      <c r="E8" s="3" t="s">
        <v>17</v>
      </c>
    </row>
    <row r="9" spans="1:13" x14ac:dyDescent="0.25">
      <c r="A9" s="4" t="str">
        <f>"01.07.2023"</f>
        <v>01.07.2023</v>
      </c>
      <c r="B9" s="3" t="s">
        <v>4</v>
      </c>
      <c r="C9" s="3" t="s">
        <v>7</v>
      </c>
      <c r="D9" s="3" t="s">
        <v>13</v>
      </c>
      <c r="E9" s="3" t="s">
        <v>18</v>
      </c>
    </row>
    <row r="10" spans="1:13" x14ac:dyDescent="0.25">
      <c r="A10" s="4" t="str">
        <f>"01.12.2021"</f>
        <v>01.12.2021</v>
      </c>
      <c r="B10" s="3" t="s">
        <v>4</v>
      </c>
      <c r="C10" s="3" t="s">
        <v>8</v>
      </c>
      <c r="D10" s="3" t="s">
        <v>14</v>
      </c>
      <c r="E10" s="3" t="s">
        <v>19</v>
      </c>
    </row>
    <row r="11" spans="1:13" x14ac:dyDescent="0.25">
      <c r="A11" s="4" t="str">
        <f>"06.07.2021"</f>
        <v>06.07.2021</v>
      </c>
      <c r="B11" s="3" t="s">
        <v>4</v>
      </c>
      <c r="C11" s="3" t="s">
        <v>9</v>
      </c>
      <c r="D11" s="3" t="s">
        <v>14</v>
      </c>
      <c r="E11" s="3" t="s">
        <v>20</v>
      </c>
    </row>
    <row r="12" spans="1:13" x14ac:dyDescent="0.25">
      <c r="A12" s="4" t="str">
        <f>"30.04.2021"</f>
        <v>30.04.2021</v>
      </c>
      <c r="B12" s="3" t="s">
        <v>5</v>
      </c>
      <c r="C12" s="3" t="s">
        <v>10</v>
      </c>
      <c r="D12" s="3" t="s">
        <v>15</v>
      </c>
    </row>
    <row r="13" spans="1:13" x14ac:dyDescent="0.25">
      <c r="A13" s="4" t="str">
        <f>"17.11.2020"</f>
        <v>17.11.2020</v>
      </c>
      <c r="B13" s="3" t="s">
        <v>4</v>
      </c>
      <c r="C13" s="3" t="s">
        <v>11</v>
      </c>
      <c r="D13" s="3" t="s">
        <v>16</v>
      </c>
      <c r="E13" s="3" t="s">
        <v>21</v>
      </c>
    </row>
  </sheetData>
  <sheetProtection selectLockedCells="1" selectUnlockedCells="1"/>
  <hyperlinks>
    <hyperlink ref="E6" r:id="rId1" xr:uid="{8F676C36-0CE6-4143-910B-5E0B86FD9B16}"/>
    <hyperlink ref="E5" r:id="rId2" xr:uid="{9B32EC29-C677-431C-9FA4-C54734811394}"/>
    <hyperlink ref="E4" r:id="rId3" xr:uid="{697EB231-C50A-4026-AE5A-6608B3A8768B}"/>
    <hyperlink ref="E2" r:id="rId4" xr:uid="{813AAA8E-B2D2-4918-9811-B8176C6F313C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5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2025-10-30T08:09:25Z</dcterms:modified>
</cp:coreProperties>
</file>